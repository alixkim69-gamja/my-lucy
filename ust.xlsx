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smart\"/>
    </mc:Choice>
  </mc:AlternateContent>
  <bookViews>
    <workbookView xWindow="0" yWindow="0" windowWidth="28740" windowHeight="11580"/>
  </bookViews>
  <sheets>
    <sheet name="ust" sheetId="1" r:id="rId1"/>
  </sheets>
  <definedNames>
    <definedName name="_xlnm._FilterDatabase" localSheetId="0" hidden="1">ust!$I$1:$I$32</definedName>
  </definedNames>
  <calcPr calcId="162913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</calcChain>
</file>

<file path=xl/sharedStrings.xml><?xml version="1.0" encoding="utf-8"?>
<sst xmlns="http://schemas.openxmlformats.org/spreadsheetml/2006/main" count="165" uniqueCount="109">
  <si>
    <t>번호</t>
  </si>
  <si>
    <t>공고명</t>
  </si>
  <si>
    <t>공고번호</t>
  </si>
  <si>
    <t>기초금액</t>
  </si>
  <si>
    <t>투찰금액</t>
  </si>
  <si>
    <t>순위</t>
  </si>
  <si>
    <t>참여업체수</t>
  </si>
  <si>
    <t>개찰일</t>
  </si>
  <si>
    <t>1</t>
  </si>
  <si>
    <t>2025년 관할해역 해양기본조사(태안서부) [급][기초][공가][PQ]</t>
  </si>
  <si>
    <t>R25BK00640593-000</t>
  </si>
  <si>
    <t>6</t>
  </si>
  <si>
    <t>25.04.03</t>
  </si>
  <si>
    <t>항만해역 정밀수로측량(군산·장항항) [급][기초][공가][PQ]</t>
  </si>
  <si>
    <t>R25BK00633138-000</t>
  </si>
  <si>
    <t>9</t>
  </si>
  <si>
    <t>25.03.28</t>
  </si>
  <si>
    <t>국가어항 주기조사(궁평항 등 22개항) [급][기초][공가][PQ]</t>
  </si>
  <si>
    <t>R25BK00632997-000</t>
  </si>
  <si>
    <t>8</t>
  </si>
  <si>
    <t>25.03.26</t>
  </si>
  <si>
    <t>2025년 해저지형표면(S-102) 구축 및 유지관리 [기초][공가][PQ]</t>
  </si>
  <si>
    <t>R25BK00614218-000</t>
  </si>
  <si>
    <t>4</t>
  </si>
  <si>
    <t>25.03.20</t>
  </si>
  <si>
    <t>2025년 서해안 중부 기본수준점 조사//(재입찰) [기초][공가][PQ]</t>
  </si>
  <si>
    <t>R25BK00614057-000</t>
  </si>
  <si>
    <t>3</t>
  </si>
  <si>
    <t>25.03.19</t>
  </si>
  <si>
    <t>2025년 한국연안 항로지 제작 [기초][공가]</t>
  </si>
  <si>
    <t>R25BK00611279-000</t>
  </si>
  <si>
    <t>-1</t>
  </si>
  <si>
    <t>25.03.18</t>
  </si>
  <si>
    <t>2025년 골재채취해역 해저지형변화 모니터링 [공가][PQ]</t>
  </si>
  <si>
    <t>R25BK00624458-000</t>
  </si>
  <si>
    <t>5</t>
  </si>
  <si>
    <t>25.03.17</t>
  </si>
  <si>
    <t>경기만 등 장기조류관측 및 자료분석//(재입찰) [정][기초][공가][PQ]</t>
  </si>
  <si>
    <t>R25BK00563178-001</t>
  </si>
  <si>
    <t>2</t>
  </si>
  <si>
    <t>25.02.19</t>
  </si>
  <si>
    <t>2025년 관할해역 해양관측정보 종합분석//(지정업체)(재입찰) [기초][공가]</t>
  </si>
  <si>
    <t>R25BK00578828-000</t>
  </si>
  <si>
    <t>-2</t>
  </si>
  <si>
    <t>25.01.22</t>
  </si>
  <si>
    <t>2024년 소형선용 안전정보 제작 [급][공가][PQ]</t>
  </si>
  <si>
    <t>20240213566-00</t>
  </si>
  <si>
    <t>24.03.15</t>
  </si>
  <si>
    <t>복합재난 침수모니터링 계획 수립 [공가][PQ]</t>
  </si>
  <si>
    <t>20240205057-00</t>
  </si>
  <si>
    <t>24.03.08</t>
  </si>
  <si>
    <t>2024년 동남해안 및 제주 기본수준점 조사 [공가][PQ]</t>
  </si>
  <si>
    <t>20240134961-00</t>
  </si>
  <si>
    <t>24.03.05</t>
  </si>
  <si>
    <t>2024년 해양위성정보 품질검증 체계 구축//(재입찰) [급][기초][공가]</t>
  </si>
  <si>
    <t>20240123643-00</t>
  </si>
  <si>
    <t>24.02.28</t>
  </si>
  <si>
    <t>방도수도 등 장기조류관측 및 자료분석//(재입찰) [급][기초][공가]</t>
  </si>
  <si>
    <t>20240121464-00</t>
  </si>
  <si>
    <t>24.02.23</t>
  </si>
  <si>
    <t>2024년 골재채취해역 해저지형변화 모니터링 [급][공가]</t>
  </si>
  <si>
    <t>20240106494-00</t>
  </si>
  <si>
    <t>24.02.15</t>
  </si>
  <si>
    <t>2024년 해저지형표면(S-102)  구축 및 유지관리 [급][공가][PQ]</t>
  </si>
  <si>
    <t>20240106475-00</t>
  </si>
  <si>
    <t>2024년 관할해역 해양관측정보 종합분석 [공가]</t>
  </si>
  <si>
    <t>20231242827-00</t>
  </si>
  <si>
    <t>24.01.30</t>
  </si>
  <si>
    <t>서남해안 해도제작 [공가]</t>
  </si>
  <si>
    <t>20231223099-00</t>
  </si>
  <si>
    <t>24.01.17</t>
  </si>
  <si>
    <t>남동해안 해도제작 [공가]</t>
  </si>
  <si>
    <t>20231223055-00</t>
  </si>
  <si>
    <t>24.01.16</t>
  </si>
  <si>
    <t>2024년 관할해역 장기조석관측 및 자료분석 [기초][공가]</t>
  </si>
  <si>
    <t>20231202857-00</t>
  </si>
  <si>
    <t>24.01.09</t>
  </si>
  <si>
    <t>장항 조위관측소 해양·기상관측장비 이전 설치 [기초][공가][수의]</t>
  </si>
  <si>
    <t>20231026969-00</t>
  </si>
  <si>
    <t>23.11.01</t>
  </si>
  <si>
    <t>실시간 이안류 감시체계 서비스(9차) [공가]</t>
  </si>
  <si>
    <t>20230125551-00</t>
  </si>
  <si>
    <t>23.02.28</t>
  </si>
  <si>
    <t>2023년 골재채취해역 해저지형변화 모니터링 (긴급공고) [급][공가][PQ]</t>
  </si>
  <si>
    <t>20230125285-00</t>
  </si>
  <si>
    <t>서남해안 해도제작 (긴급공고) [급][공가][PQ]</t>
  </si>
  <si>
    <t>20230123188-00</t>
  </si>
  <si>
    <t>23.02.23</t>
  </si>
  <si>
    <t>남동해안 해도제작 (긴급공고) [급][공가][PQ]</t>
  </si>
  <si>
    <t>20230123164-00</t>
  </si>
  <si>
    <t>해저지형표면(S-102) 구축 및 유지관리 (긴급공고) [급][공가][PQ]</t>
  </si>
  <si>
    <t>20220236523-00</t>
  </si>
  <si>
    <t>22.03.24</t>
  </si>
  <si>
    <t>남동해안 해도제작 [공가][PQ]</t>
  </si>
  <si>
    <t>20220205917-00</t>
  </si>
  <si>
    <t>22.03.10</t>
  </si>
  <si>
    <t>서해안 해도제작 [공가][PQ]</t>
  </si>
  <si>
    <t>20220205877-00</t>
  </si>
  <si>
    <t>2022년 서해안중부 기본수준점조사 (정정공고)//(재입찰) [정][공가]</t>
  </si>
  <si>
    <t>20220108646-01</t>
  </si>
  <si>
    <t>22.02.18</t>
  </si>
  <si>
    <t>2022년 관할해역 해양관측정보 종합분석 [공가]</t>
  </si>
  <si>
    <t>20211244094-00</t>
  </si>
  <si>
    <t>22.01.27</t>
  </si>
  <si>
    <t>다대포항 등 관할해역 장기조석관측 및 자료분석 [공가]</t>
  </si>
  <si>
    <t>20211134832-00</t>
  </si>
  <si>
    <t>21.12.24</t>
  </si>
  <si>
    <t>투찰율</t>
    <phoneticPr fontId="3" type="noConversion"/>
  </si>
  <si>
    <t>낙찰하한율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</si>
</sst>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7" formatCode="0.0000_ "/>
    <numFmt numFmtId="178" formatCode="#,###.000"/>
    <numFmt numFmtId="179" formatCode="0_ "/>
    <numFmt numFmtId="181" formatCode="0_);[Red]\(0\)"/>
  </numFmts>
  <fonts count="6" x14ac:knownFonts="1">
    <font>
      <sz val="11"/>
      <color theme="1"/>
      <name val="맑은 고딕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name val="맑은 고딕"/>
      <family val="3"/>
      <charset val="129"/>
      <scheme val="minor"/>
    </font>
    <font>
      <b/>
      <sz val="8"/>
      <name val="돋움"/>
      <family val="3"/>
      <charset val="129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5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right" vertical="center"/>
    </xf>
    <xf numFmtId="178" fontId="2" fillId="0" borderId="1" xfId="0" applyNumberFormat="1" applyFont="1" applyBorder="1"/>
    <xf numFmtId="179" fontId="2" fillId="0" borderId="1" xfId="1" applyNumberFormat="1" applyFont="1" applyBorder="1" applyAlignment="1"/>
    <xf numFmtId="179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81" fontId="2" fillId="0" borderId="1" xfId="0" applyNumberFormat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workbookViewId="0">
      <selection activeCell="G17" sqref="G17"/>
    </sheetView>
  </sheetViews>
  <sheetFormatPr defaultRowHeight="16.5" x14ac:dyDescent="0.3"/>
  <cols>
    <col min="1" max="1" width="5" customWidth="1"/>
    <col min="2" max="2" width="54.875" bestFit="1" customWidth="1"/>
    <col min="3" max="7" width="15" customWidth="1"/>
    <col min="8" max="10" width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108</v>
      </c>
      <c r="F1" s="1" t="s">
        <v>4</v>
      </c>
      <c r="G1" s="5" t="s">
        <v>107</v>
      </c>
      <c r="H1" s="1" t="s">
        <v>5</v>
      </c>
      <c r="I1" s="1" t="s">
        <v>6</v>
      </c>
      <c r="J1" s="1" t="s">
        <v>7</v>
      </c>
    </row>
    <row r="2" spans="1:10" x14ac:dyDescent="0.3">
      <c r="A2" s="2">
        <v>2</v>
      </c>
      <c r="B2" s="3" t="s">
        <v>9</v>
      </c>
      <c r="C2" s="2" t="s">
        <v>10</v>
      </c>
      <c r="D2" s="8">
        <v>1613800000</v>
      </c>
      <c r="E2" s="7">
        <f t="shared" ref="E2:E32" si="0">IF(D2&lt;1000000000, 0.855, IF(D2&lt;3000000000, 0.83, 0.805))</f>
        <v>0.83</v>
      </c>
      <c r="F2" s="11">
        <v>1516972000</v>
      </c>
      <c r="G2" s="6">
        <f>F2/D2/E2</f>
        <v>1.1325301204819278</v>
      </c>
      <c r="H2" s="4" t="s">
        <v>11</v>
      </c>
      <c r="I2" s="4" t="s">
        <v>11</v>
      </c>
      <c r="J2" s="2" t="s">
        <v>12</v>
      </c>
    </row>
    <row r="3" spans="1:10" x14ac:dyDescent="0.3">
      <c r="A3" s="2">
        <v>3</v>
      </c>
      <c r="B3" s="3" t="s">
        <v>13</v>
      </c>
      <c r="C3" s="2" t="s">
        <v>14</v>
      </c>
      <c r="D3" s="8">
        <v>999890000</v>
      </c>
      <c r="E3" s="7">
        <f t="shared" si="0"/>
        <v>0.85499999999999998</v>
      </c>
      <c r="F3" s="9">
        <v>939896600</v>
      </c>
      <c r="G3" s="6">
        <f t="shared" ref="G3:G32" si="1">F3/D3/E3</f>
        <v>1.0994152046783625</v>
      </c>
      <c r="H3" s="4" t="s">
        <v>15</v>
      </c>
      <c r="I3" s="4" t="s">
        <v>15</v>
      </c>
      <c r="J3" s="2" t="s">
        <v>16</v>
      </c>
    </row>
    <row r="4" spans="1:10" x14ac:dyDescent="0.3">
      <c r="A4" s="2">
        <v>4</v>
      </c>
      <c r="B4" s="3" t="s">
        <v>17</v>
      </c>
      <c r="C4" s="2" t="s">
        <v>18</v>
      </c>
      <c r="D4" s="8">
        <v>1317970000</v>
      </c>
      <c r="E4" s="7">
        <f t="shared" si="0"/>
        <v>0.83</v>
      </c>
      <c r="F4" s="9">
        <v>1238891800</v>
      </c>
      <c r="G4" s="6">
        <f t="shared" si="1"/>
        <v>1.1325301204819278</v>
      </c>
      <c r="H4" s="4" t="s">
        <v>19</v>
      </c>
      <c r="I4" s="4" t="s">
        <v>15</v>
      </c>
      <c r="J4" s="2" t="s">
        <v>20</v>
      </c>
    </row>
    <row r="5" spans="1:10" x14ac:dyDescent="0.3">
      <c r="A5" s="2">
        <v>5</v>
      </c>
      <c r="B5" s="3" t="s">
        <v>21</v>
      </c>
      <c r="C5" s="2" t="s">
        <v>22</v>
      </c>
      <c r="D5" s="8">
        <v>1241067000</v>
      </c>
      <c r="E5" s="7">
        <f t="shared" si="0"/>
        <v>0.83</v>
      </c>
      <c r="F5" s="9">
        <v>1038813000</v>
      </c>
      <c r="G5" s="6">
        <f t="shared" si="1"/>
        <v>1.0084724899710034</v>
      </c>
      <c r="H5" s="4" t="s">
        <v>8</v>
      </c>
      <c r="I5" s="4" t="s">
        <v>23</v>
      </c>
      <c r="J5" s="2" t="s">
        <v>24</v>
      </c>
    </row>
    <row r="6" spans="1:10" x14ac:dyDescent="0.3">
      <c r="A6" s="2">
        <v>6</v>
      </c>
      <c r="B6" s="3" t="s">
        <v>25</v>
      </c>
      <c r="C6" s="2" t="s">
        <v>26</v>
      </c>
      <c r="D6" s="8">
        <v>900000000</v>
      </c>
      <c r="E6" s="7">
        <f t="shared" si="0"/>
        <v>0.85499999999999998</v>
      </c>
      <c r="F6" s="9">
        <v>748020800</v>
      </c>
      <c r="G6" s="6">
        <f t="shared" si="1"/>
        <v>0.97208680961663418</v>
      </c>
      <c r="H6" s="4" t="s">
        <v>8</v>
      </c>
      <c r="I6" s="4" t="s">
        <v>27</v>
      </c>
      <c r="J6" s="2" t="s">
        <v>28</v>
      </c>
    </row>
    <row r="7" spans="1:10" x14ac:dyDescent="0.3">
      <c r="A7" s="2">
        <v>7</v>
      </c>
      <c r="B7" s="3" t="s">
        <v>29</v>
      </c>
      <c r="C7" s="2" t="s">
        <v>30</v>
      </c>
      <c r="D7" s="8">
        <v>388419700</v>
      </c>
      <c r="E7" s="7">
        <f t="shared" si="0"/>
        <v>0.85499999999999998</v>
      </c>
      <c r="F7" s="9">
        <v>324005000</v>
      </c>
      <c r="G7" s="6">
        <f t="shared" si="1"/>
        <v>0.97562820931654348</v>
      </c>
      <c r="H7" s="4" t="s">
        <v>31</v>
      </c>
      <c r="I7" s="4" t="s">
        <v>23</v>
      </c>
      <c r="J7" s="2" t="s">
        <v>32</v>
      </c>
    </row>
    <row r="8" spans="1:10" x14ac:dyDescent="0.3">
      <c r="A8" s="2">
        <v>8</v>
      </c>
      <c r="B8" s="3" t="s">
        <v>33</v>
      </c>
      <c r="C8" s="2" t="s">
        <v>34</v>
      </c>
      <c r="D8" s="8">
        <v>926690000</v>
      </c>
      <c r="E8" s="7">
        <f t="shared" si="0"/>
        <v>0.85499999999999998</v>
      </c>
      <c r="F8" s="9">
        <v>769571000</v>
      </c>
      <c r="G8" s="6">
        <f t="shared" si="1"/>
        <v>0.97128817720669536</v>
      </c>
      <c r="H8" s="4" t="s">
        <v>31</v>
      </c>
      <c r="I8" s="4" t="s">
        <v>35</v>
      </c>
      <c r="J8" s="2" t="s">
        <v>36</v>
      </c>
    </row>
    <row r="9" spans="1:10" x14ac:dyDescent="0.3">
      <c r="A9" s="2">
        <v>9</v>
      </c>
      <c r="B9" s="3" t="s">
        <v>37</v>
      </c>
      <c r="C9" s="2" t="s">
        <v>38</v>
      </c>
      <c r="D9" s="8">
        <v>1660830000</v>
      </c>
      <c r="E9" s="7">
        <f t="shared" si="0"/>
        <v>0.83</v>
      </c>
      <c r="F9" s="9">
        <v>1385043000</v>
      </c>
      <c r="G9" s="6">
        <f t="shared" si="1"/>
        <v>1.0047545540627858</v>
      </c>
      <c r="H9" s="4" t="s">
        <v>39</v>
      </c>
      <c r="I9" s="4" t="s">
        <v>39</v>
      </c>
      <c r="J9" s="2" t="s">
        <v>40</v>
      </c>
    </row>
    <row r="10" spans="1:10" x14ac:dyDescent="0.3">
      <c r="A10" s="2">
        <v>10</v>
      </c>
      <c r="B10" s="3" t="s">
        <v>41</v>
      </c>
      <c r="C10" s="2" t="s">
        <v>42</v>
      </c>
      <c r="D10" s="8">
        <v>1799900000</v>
      </c>
      <c r="E10" s="7">
        <f t="shared" si="0"/>
        <v>0.83</v>
      </c>
      <c r="F10" s="9">
        <v>1494449000</v>
      </c>
      <c r="G10" s="6">
        <f t="shared" si="1"/>
        <v>1.0003561108147241</v>
      </c>
      <c r="H10" s="4" t="s">
        <v>43</v>
      </c>
      <c r="I10" s="4" t="s">
        <v>27</v>
      </c>
      <c r="J10" s="2" t="s">
        <v>44</v>
      </c>
    </row>
    <row r="11" spans="1:10" x14ac:dyDescent="0.3">
      <c r="A11" s="2">
        <v>13</v>
      </c>
      <c r="B11" s="3" t="s">
        <v>45</v>
      </c>
      <c r="C11" s="2" t="s">
        <v>46</v>
      </c>
      <c r="D11" s="8">
        <v>999900000</v>
      </c>
      <c r="E11" s="7">
        <f t="shared" si="0"/>
        <v>0.85499999999999998</v>
      </c>
      <c r="F11" s="9">
        <v>834110000</v>
      </c>
      <c r="G11" s="6">
        <f t="shared" si="1"/>
        <v>0.97566481794378268</v>
      </c>
      <c r="H11" s="4" t="s">
        <v>39</v>
      </c>
      <c r="I11" s="4" t="s">
        <v>27</v>
      </c>
      <c r="J11" s="2" t="s">
        <v>47</v>
      </c>
    </row>
    <row r="12" spans="1:10" x14ac:dyDescent="0.3">
      <c r="A12" s="2">
        <v>14</v>
      </c>
      <c r="B12" s="3" t="s">
        <v>48</v>
      </c>
      <c r="C12" s="2" t="s">
        <v>49</v>
      </c>
      <c r="D12" s="8">
        <v>300000000</v>
      </c>
      <c r="E12" s="7">
        <f t="shared" si="0"/>
        <v>0.85499999999999998</v>
      </c>
      <c r="F12" s="9">
        <v>250454000</v>
      </c>
      <c r="G12" s="6">
        <f t="shared" si="1"/>
        <v>0.97642884990253409</v>
      </c>
      <c r="H12" s="4" t="s">
        <v>8</v>
      </c>
      <c r="I12" s="4" t="s">
        <v>27</v>
      </c>
      <c r="J12" s="2" t="s">
        <v>50</v>
      </c>
    </row>
    <row r="13" spans="1:10" x14ac:dyDescent="0.3">
      <c r="A13" s="2">
        <v>15</v>
      </c>
      <c r="B13" s="3" t="s">
        <v>51</v>
      </c>
      <c r="C13" s="2" t="s">
        <v>52</v>
      </c>
      <c r="D13" s="8">
        <v>899880000</v>
      </c>
      <c r="E13" s="7">
        <f t="shared" si="0"/>
        <v>0.85499999999999998</v>
      </c>
      <c r="F13" s="9">
        <v>755444400</v>
      </c>
      <c r="G13" s="6">
        <f t="shared" si="1"/>
        <v>0.98186502839754852</v>
      </c>
      <c r="H13" s="4" t="s">
        <v>27</v>
      </c>
      <c r="I13" s="4" t="s">
        <v>27</v>
      </c>
      <c r="J13" s="2" t="s">
        <v>53</v>
      </c>
    </row>
    <row r="14" spans="1:10" x14ac:dyDescent="0.3">
      <c r="A14" s="2">
        <v>16</v>
      </c>
      <c r="B14" s="3" t="s">
        <v>54</v>
      </c>
      <c r="C14" s="2" t="s">
        <v>55</v>
      </c>
      <c r="D14" s="8">
        <v>1409800000</v>
      </c>
      <c r="E14" s="7">
        <f t="shared" si="0"/>
        <v>0.83</v>
      </c>
      <c r="F14" s="9">
        <v>1181928000</v>
      </c>
      <c r="G14" s="6">
        <f t="shared" si="1"/>
        <v>1.0100791875118575</v>
      </c>
      <c r="H14" s="4" t="s">
        <v>8</v>
      </c>
      <c r="I14" s="4" t="s">
        <v>39</v>
      </c>
      <c r="J14" s="2" t="s">
        <v>56</v>
      </c>
    </row>
    <row r="15" spans="1:10" x14ac:dyDescent="0.3">
      <c r="A15" s="2">
        <v>17</v>
      </c>
      <c r="B15" s="3" t="s">
        <v>57</v>
      </c>
      <c r="C15" s="2" t="s">
        <v>58</v>
      </c>
      <c r="D15" s="8">
        <v>1582900000</v>
      </c>
      <c r="E15" s="7">
        <f t="shared" si="0"/>
        <v>0.83</v>
      </c>
      <c r="F15" s="9">
        <v>1323993000</v>
      </c>
      <c r="G15" s="6">
        <f t="shared" si="1"/>
        <v>1.0077530413523448</v>
      </c>
      <c r="H15" s="4" t="s">
        <v>39</v>
      </c>
      <c r="I15" s="4" t="s">
        <v>39</v>
      </c>
      <c r="J15" s="2" t="s">
        <v>59</v>
      </c>
    </row>
    <row r="16" spans="1:10" x14ac:dyDescent="0.3">
      <c r="A16" s="2">
        <v>19</v>
      </c>
      <c r="B16" s="3" t="s">
        <v>60</v>
      </c>
      <c r="C16" s="2" t="s">
        <v>61</v>
      </c>
      <c r="D16" s="8">
        <v>999360000</v>
      </c>
      <c r="E16" s="7">
        <f t="shared" si="0"/>
        <v>0.85499999999999998</v>
      </c>
      <c r="F16" s="9">
        <v>919400000</v>
      </c>
      <c r="G16" s="6">
        <f t="shared" si="1"/>
        <v>1.0760102840086661</v>
      </c>
      <c r="H16" s="4" t="s">
        <v>19</v>
      </c>
      <c r="I16" s="4" t="s">
        <v>19</v>
      </c>
      <c r="J16" s="2" t="s">
        <v>62</v>
      </c>
    </row>
    <row r="17" spans="1:10" x14ac:dyDescent="0.3">
      <c r="A17" s="2">
        <v>20</v>
      </c>
      <c r="B17" s="3" t="s">
        <v>63</v>
      </c>
      <c r="C17" s="2" t="s">
        <v>64</v>
      </c>
      <c r="D17" s="8">
        <v>749956000</v>
      </c>
      <c r="E17" s="7">
        <f t="shared" si="0"/>
        <v>0.85499999999999998</v>
      </c>
      <c r="F17" s="9">
        <v>626989000</v>
      </c>
      <c r="G17" s="6">
        <f t="shared" si="1"/>
        <v>0.97781798910370388</v>
      </c>
      <c r="H17" s="4" t="s">
        <v>39</v>
      </c>
      <c r="I17" s="4" t="s">
        <v>39</v>
      </c>
      <c r="J17" s="2" t="s">
        <v>62</v>
      </c>
    </row>
    <row r="18" spans="1:10" x14ac:dyDescent="0.3">
      <c r="A18" s="2">
        <v>21</v>
      </c>
      <c r="B18" s="3" t="s">
        <v>65</v>
      </c>
      <c r="C18" s="2" t="s">
        <v>66</v>
      </c>
      <c r="D18" s="8">
        <v>1798600000</v>
      </c>
      <c r="E18" s="7">
        <f t="shared" si="0"/>
        <v>0.83</v>
      </c>
      <c r="F18" s="9">
        <v>1500360000</v>
      </c>
      <c r="G18" s="6">
        <f t="shared" si="1"/>
        <v>1.005038724898482</v>
      </c>
      <c r="H18" s="4" t="s">
        <v>8</v>
      </c>
      <c r="I18" s="4" t="s">
        <v>39</v>
      </c>
      <c r="J18" s="2" t="s">
        <v>67</v>
      </c>
    </row>
    <row r="19" spans="1:10" x14ac:dyDescent="0.3">
      <c r="A19" s="2">
        <v>22</v>
      </c>
      <c r="B19" s="3" t="s">
        <v>68</v>
      </c>
      <c r="C19" s="2" t="s">
        <v>69</v>
      </c>
      <c r="D19" s="8">
        <v>2509100000</v>
      </c>
      <c r="E19" s="7">
        <f t="shared" si="0"/>
        <v>0.83</v>
      </c>
      <c r="F19" s="9">
        <v>2160210000</v>
      </c>
      <c r="G19" s="6">
        <f t="shared" si="1"/>
        <v>1.0372893270903549</v>
      </c>
      <c r="H19" s="4" t="s">
        <v>8</v>
      </c>
      <c r="I19" s="4" t="s">
        <v>39</v>
      </c>
      <c r="J19" s="2" t="s">
        <v>70</v>
      </c>
    </row>
    <row r="20" spans="1:10" x14ac:dyDescent="0.3">
      <c r="A20" s="2">
        <v>23</v>
      </c>
      <c r="B20" s="3" t="s">
        <v>71</v>
      </c>
      <c r="C20" s="2" t="s">
        <v>72</v>
      </c>
      <c r="D20" s="8">
        <v>2819300000</v>
      </c>
      <c r="E20" s="7">
        <f t="shared" si="0"/>
        <v>0.83</v>
      </c>
      <c r="F20" s="9">
        <v>2427150000</v>
      </c>
      <c r="G20" s="6">
        <f t="shared" si="1"/>
        <v>1.037235167748638</v>
      </c>
      <c r="H20" s="4" t="s">
        <v>39</v>
      </c>
      <c r="I20" s="4" t="s">
        <v>39</v>
      </c>
      <c r="J20" s="2" t="s">
        <v>73</v>
      </c>
    </row>
    <row r="21" spans="1:10" x14ac:dyDescent="0.3">
      <c r="A21" s="2">
        <v>24</v>
      </c>
      <c r="B21" s="3" t="s">
        <v>74</v>
      </c>
      <c r="C21" s="2" t="s">
        <v>75</v>
      </c>
      <c r="D21" s="8">
        <v>631100000</v>
      </c>
      <c r="E21" s="7">
        <f t="shared" si="0"/>
        <v>0.85499999999999998</v>
      </c>
      <c r="F21" s="9">
        <v>526505000</v>
      </c>
      <c r="G21" s="6">
        <f t="shared" si="1"/>
        <v>0.97574920240441598</v>
      </c>
      <c r="H21" s="4" t="s">
        <v>27</v>
      </c>
      <c r="I21" s="4" t="s">
        <v>11</v>
      </c>
      <c r="J21" s="2" t="s">
        <v>76</v>
      </c>
    </row>
    <row r="22" spans="1:10" x14ac:dyDescent="0.3">
      <c r="A22" s="2">
        <v>25</v>
      </c>
      <c r="B22" s="3" t="s">
        <v>77</v>
      </c>
      <c r="C22" s="2" t="s">
        <v>78</v>
      </c>
      <c r="D22" s="8">
        <v>90558000</v>
      </c>
      <c r="E22" s="7">
        <f t="shared" si="0"/>
        <v>0.85499999999999998</v>
      </c>
      <c r="F22" s="9">
        <v>90105000</v>
      </c>
      <c r="G22" s="6">
        <f t="shared" si="1"/>
        <v>1.163739977829465</v>
      </c>
      <c r="H22" s="4" t="s">
        <v>39</v>
      </c>
      <c r="I22" s="4" t="s">
        <v>39</v>
      </c>
      <c r="J22" s="2" t="s">
        <v>79</v>
      </c>
    </row>
    <row r="23" spans="1:10" x14ac:dyDescent="0.3">
      <c r="A23" s="2">
        <v>27</v>
      </c>
      <c r="B23" s="3" t="s">
        <v>80</v>
      </c>
      <c r="C23" s="2" t="s">
        <v>81</v>
      </c>
      <c r="D23" s="8">
        <v>600000000</v>
      </c>
      <c r="E23" s="7">
        <f t="shared" si="0"/>
        <v>0.85499999999999998</v>
      </c>
      <c r="F23" s="9">
        <v>540000000</v>
      </c>
      <c r="G23" s="6">
        <f t="shared" si="1"/>
        <v>1.0526315789473684</v>
      </c>
      <c r="H23" s="4" t="s">
        <v>39</v>
      </c>
      <c r="I23" s="4" t="s">
        <v>39</v>
      </c>
      <c r="J23" s="2" t="s">
        <v>82</v>
      </c>
    </row>
    <row r="24" spans="1:10" x14ac:dyDescent="0.3">
      <c r="A24" s="2">
        <v>28</v>
      </c>
      <c r="B24" s="3" t="s">
        <v>83</v>
      </c>
      <c r="C24" s="2" t="s">
        <v>84</v>
      </c>
      <c r="D24" s="8">
        <v>990418000</v>
      </c>
      <c r="E24" s="7">
        <f t="shared" si="0"/>
        <v>0.85499999999999998</v>
      </c>
      <c r="F24" s="9">
        <v>834328000</v>
      </c>
      <c r="G24" s="6">
        <f t="shared" si="1"/>
        <v>0.98526301240710712</v>
      </c>
      <c r="H24" s="4" t="s">
        <v>27</v>
      </c>
      <c r="I24" s="4" t="s">
        <v>35</v>
      </c>
      <c r="J24" s="2" t="s">
        <v>82</v>
      </c>
    </row>
    <row r="25" spans="1:10" x14ac:dyDescent="0.3">
      <c r="A25" s="2">
        <v>31</v>
      </c>
      <c r="B25" s="3" t="s">
        <v>85</v>
      </c>
      <c r="C25" s="2" t="s">
        <v>86</v>
      </c>
      <c r="D25" s="8">
        <v>2483000000</v>
      </c>
      <c r="E25" s="7">
        <f t="shared" si="0"/>
        <v>0.83</v>
      </c>
      <c r="F25" s="9">
        <v>2172600000</v>
      </c>
      <c r="G25" s="6">
        <f t="shared" si="1"/>
        <v>1.054204736788475</v>
      </c>
      <c r="H25" s="4" t="s">
        <v>8</v>
      </c>
      <c r="I25" s="4" t="s">
        <v>39</v>
      </c>
      <c r="J25" s="2" t="s">
        <v>87</v>
      </c>
    </row>
    <row r="26" spans="1:10" x14ac:dyDescent="0.3">
      <c r="A26" s="2">
        <v>32</v>
      </c>
      <c r="B26" s="3" t="s">
        <v>88</v>
      </c>
      <c r="C26" s="2" t="s">
        <v>89</v>
      </c>
      <c r="D26" s="8">
        <v>2852000000</v>
      </c>
      <c r="E26" s="7">
        <f t="shared" si="0"/>
        <v>0.83</v>
      </c>
      <c r="F26" s="9">
        <v>2502630000</v>
      </c>
      <c r="G26" s="6">
        <f t="shared" si="1"/>
        <v>1.0572289156626506</v>
      </c>
      <c r="H26" s="4" t="s">
        <v>39</v>
      </c>
      <c r="I26" s="4" t="s">
        <v>39</v>
      </c>
      <c r="J26" s="2" t="s">
        <v>87</v>
      </c>
    </row>
    <row r="27" spans="1:10" x14ac:dyDescent="0.3">
      <c r="A27" s="2">
        <v>35</v>
      </c>
      <c r="B27" s="3" t="s">
        <v>90</v>
      </c>
      <c r="C27" s="2" t="s">
        <v>91</v>
      </c>
      <c r="D27" s="8">
        <v>1499982000</v>
      </c>
      <c r="E27" s="7">
        <f t="shared" si="0"/>
        <v>0.83</v>
      </c>
      <c r="F27" s="9">
        <v>1258790000</v>
      </c>
      <c r="G27" s="6">
        <f t="shared" si="1"/>
        <v>1.011088438282143</v>
      </c>
      <c r="H27" s="4" t="s">
        <v>8</v>
      </c>
      <c r="I27" s="4" t="s">
        <v>27</v>
      </c>
      <c r="J27" s="2" t="s">
        <v>92</v>
      </c>
    </row>
    <row r="28" spans="1:10" x14ac:dyDescent="0.3">
      <c r="A28" s="2">
        <v>36</v>
      </c>
      <c r="B28" s="3" t="s">
        <v>93</v>
      </c>
      <c r="C28" s="2" t="s">
        <v>94</v>
      </c>
      <c r="D28" s="8">
        <v>2560000000</v>
      </c>
      <c r="E28" s="7">
        <f t="shared" si="0"/>
        <v>0.83</v>
      </c>
      <c r="F28" s="9">
        <v>2209792000</v>
      </c>
      <c r="G28" s="6">
        <f t="shared" si="1"/>
        <v>1.04</v>
      </c>
      <c r="H28" s="4" t="s">
        <v>8</v>
      </c>
      <c r="I28" s="4" t="s">
        <v>39</v>
      </c>
      <c r="J28" s="2" t="s">
        <v>95</v>
      </c>
    </row>
    <row r="29" spans="1:10" x14ac:dyDescent="0.3">
      <c r="A29" s="2">
        <v>37</v>
      </c>
      <c r="B29" s="3" t="s">
        <v>96</v>
      </c>
      <c r="C29" s="2" t="s">
        <v>97</v>
      </c>
      <c r="D29" s="8">
        <v>2596400000</v>
      </c>
      <c r="E29" s="7">
        <f t="shared" si="0"/>
        <v>0.83</v>
      </c>
      <c r="F29" s="9">
        <v>2241212000</v>
      </c>
      <c r="G29" s="6">
        <f t="shared" si="1"/>
        <v>1.0399997772634213</v>
      </c>
      <c r="H29" s="4" t="s">
        <v>39</v>
      </c>
      <c r="I29" s="4" t="s">
        <v>39</v>
      </c>
      <c r="J29" s="2" t="s">
        <v>95</v>
      </c>
    </row>
    <row r="30" spans="1:10" x14ac:dyDescent="0.3">
      <c r="A30" s="2">
        <v>38</v>
      </c>
      <c r="B30" s="3" t="s">
        <v>98</v>
      </c>
      <c r="C30" s="2" t="s">
        <v>99</v>
      </c>
      <c r="D30" s="8">
        <v>999994000</v>
      </c>
      <c r="E30" s="7">
        <f t="shared" si="0"/>
        <v>0.85499999999999998</v>
      </c>
      <c r="F30" s="9">
        <v>832999000</v>
      </c>
      <c r="G30" s="6">
        <f t="shared" si="1"/>
        <v>0.97427368189940133</v>
      </c>
      <c r="H30" s="4" t="s">
        <v>8</v>
      </c>
      <c r="I30" s="4" t="s">
        <v>27</v>
      </c>
      <c r="J30" s="2" t="s">
        <v>100</v>
      </c>
    </row>
    <row r="31" spans="1:10" x14ac:dyDescent="0.3">
      <c r="A31" s="2">
        <v>39</v>
      </c>
      <c r="B31" s="3" t="s">
        <v>101</v>
      </c>
      <c r="C31" s="2" t="s">
        <v>102</v>
      </c>
      <c r="D31" s="8">
        <v>1700400000</v>
      </c>
      <c r="E31" s="7">
        <f t="shared" si="0"/>
        <v>0.83</v>
      </c>
      <c r="F31" s="9">
        <v>1420702000</v>
      </c>
      <c r="G31" s="6">
        <f t="shared" si="1"/>
        <v>1.0066391182230687</v>
      </c>
      <c r="H31" s="4" t="s">
        <v>8</v>
      </c>
      <c r="I31" s="4" t="s">
        <v>39</v>
      </c>
      <c r="J31" s="2" t="s">
        <v>103</v>
      </c>
    </row>
    <row r="32" spans="1:10" x14ac:dyDescent="0.3">
      <c r="A32" s="2">
        <v>40</v>
      </c>
      <c r="B32" s="3" t="s">
        <v>104</v>
      </c>
      <c r="C32" s="2" t="s">
        <v>105</v>
      </c>
      <c r="D32" s="8">
        <v>931500000</v>
      </c>
      <c r="E32" s="7">
        <f t="shared" si="0"/>
        <v>0.85499999999999998</v>
      </c>
      <c r="F32" s="10">
        <v>779623000</v>
      </c>
      <c r="G32" s="6">
        <f t="shared" si="1"/>
        <v>0.97889400545557848</v>
      </c>
      <c r="H32" s="4" t="s">
        <v>39</v>
      </c>
      <c r="I32" s="4" t="s">
        <v>23</v>
      </c>
      <c r="J32" s="2" t="s">
        <v>106</v>
      </c>
    </row>
  </sheetData>
  <autoFilter ref="I1:I32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2025-11-24T06:42:58Z</dcterms:created>
  <dcterms:modified xsi:type="dcterms:W3CDTF">2025-11-25T23:40:29Z</dcterms:modified>
</cp:coreProperties>
</file>